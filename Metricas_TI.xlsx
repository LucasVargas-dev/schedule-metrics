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esumo Executivo" sheetId="1" state="visible" r:id="rId3"/>
    <sheet name="👥 Por Pessoa" sheetId="2" state="visible" r:id="rId4"/>
    <sheet name="🏢 Por Cliente" sheetId="3" state="visible" r:id="rId5"/>
    <sheet name="⚠️ Aler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<sst xmlns="http://schemas.openxmlformats.org/spreadsheetml/2006/main" count="249" uniqueCount="180">
  <si>
    <t xml:space="preserve">📊  MÉTRICAS DE EQUIPE TI  —  Gerado em 21/03/2026</t>
  </si>
  <si>
    <t xml:space="preserve">VISÃO GERAL</t>
  </si>
  <si>
    <t xml:space="preserve">TOTAL TAREFAS</t>
  </si>
  <si>
    <t xml:space="preserve">CONCLUÍDAS</t>
  </si>
  <si>
    <t xml:space="preserve">EM ANDAMENTO</t>
  </si>
  <si>
    <t xml:space="preserve">A FAZER</t>
  </si>
  <si>
    <t xml:space="preserve">AGUARDANDO</t>
  </si>
  <si>
    <t xml:space="preserve">ATRASADAS</t>
  </si>
  <si>
    <t xml:space="preserve">H. ESTIMADAS</t>
  </si>
  <si>
    <t xml:space="preserve">DESVIO MÉDIO</t>
  </si>
  <si>
    <t xml:space="preserve">-17%</t>
  </si>
  <si>
    <t xml:space="preserve">Sprint atual</t>
  </si>
  <si>
    <t xml:space="preserve">38% do total</t>
  </si>
  <si>
    <t xml:space="preserve">Em progresso</t>
  </si>
  <si>
    <t xml:space="preserve">A fazer + Backlog</t>
  </si>
  <si>
    <t xml:space="preserve">Bloqueadas</t>
  </si>
  <si>
    <t xml:space="preserve">Vencimento passado</t>
  </si>
  <si>
    <t xml:space="preserve">979h rastreadas</t>
  </si>
  <si>
    <t xml:space="preserve">49 tarefas ok</t>
  </si>
  <si>
    <t xml:space="preserve">DISTRIBUIÇÃO POR STATUS</t>
  </si>
  <si>
    <t xml:space="preserve">DISTRIBUIÇÃO POR TIPO</t>
  </si>
  <si>
    <t xml:space="preserve">PRIORIDADE</t>
  </si>
  <si>
    <t xml:space="preserve">Status</t>
  </si>
  <si>
    <t xml:space="preserve">Qtd</t>
  </si>
  <si>
    <t xml:space="preserve">% Total</t>
  </si>
  <si>
    <t xml:space="preserve">Tipo</t>
  </si>
  <si>
    <t xml:space="preserve">Prioridade</t>
  </si>
  <si>
    <t xml:space="preserve">%</t>
  </si>
  <si>
    <t xml:space="preserve">Closed</t>
  </si>
  <si>
    <t xml:space="preserve">38%</t>
  </si>
  <si>
    <t xml:space="preserve">Feature</t>
  </si>
  <si>
    <t xml:space="preserve">47%</t>
  </si>
  <si>
    <t xml:space="preserve">Alta</t>
  </si>
  <si>
    <t xml:space="preserve">31%</t>
  </si>
  <si>
    <t xml:space="preserve">A fazer</t>
  </si>
  <si>
    <t xml:space="preserve">29%</t>
  </si>
  <si>
    <t xml:space="preserve">Fix</t>
  </si>
  <si>
    <t xml:space="preserve">21%</t>
  </si>
  <si>
    <t xml:space="preserve">Normal</t>
  </si>
  <si>
    <t xml:space="preserve">30%</t>
  </si>
  <si>
    <t xml:space="preserve">Em revisão</t>
  </si>
  <si>
    <t xml:space="preserve">7%</t>
  </si>
  <si>
    <t xml:space="preserve">Docs</t>
  </si>
  <si>
    <t xml:space="preserve">2%</t>
  </si>
  <si>
    <t xml:space="preserve">Baixa</t>
  </si>
  <si>
    <t xml:space="preserve">10%</t>
  </si>
  <si>
    <t xml:space="preserve">Em andamento</t>
  </si>
  <si>
    <t xml:space="preserve">6%</t>
  </si>
  <si>
    <t xml:space="preserve">Refactor</t>
  </si>
  <si>
    <t xml:space="preserve">Urgente</t>
  </si>
  <si>
    <t xml:space="preserve">3%</t>
  </si>
  <si>
    <t xml:space="preserve">Backlog</t>
  </si>
  <si>
    <t xml:space="preserve">DevOps</t>
  </si>
  <si>
    <t xml:space="preserve">1%</t>
  </si>
  <si>
    <t xml:space="preserve">Aguardando</t>
  </si>
  <si>
    <t xml:space="preserve">5%</t>
  </si>
  <si>
    <t xml:space="preserve">Tests</t>
  </si>
  <si>
    <t xml:space="preserve">Em testes</t>
  </si>
  <si>
    <t xml:space="preserve">4%</t>
  </si>
  <si>
    <t xml:space="preserve">Code Review</t>
  </si>
  <si>
    <t xml:space="preserve">0%</t>
  </si>
  <si>
    <t xml:space="preserve">Aguardando cliente</t>
  </si>
  <si>
    <t xml:space="preserve">(sem tipo)</t>
  </si>
  <si>
    <t xml:space="preserve">24%</t>
  </si>
  <si>
    <t xml:space="preserve">Aguardando TA</t>
  </si>
  <si>
    <t xml:space="preserve">Aguardando aprovação</t>
  </si>
  <si>
    <t xml:space="preserve">HORAS — ESTIMADO vs RASTREADO</t>
  </si>
  <si>
    <t xml:space="preserve">DIFICULDADE</t>
  </si>
  <si>
    <t xml:space="preserve">Métrica</t>
  </si>
  <si>
    <t xml:space="preserve">Valor</t>
  </si>
  <si>
    <t xml:space="preserve">Observação</t>
  </si>
  <si>
    <t xml:space="preserve">Dificuldade</t>
  </si>
  <si>
    <t xml:space="preserve">Total estimado</t>
  </si>
  <si>
    <t xml:space="preserve">—</t>
  </si>
  <si>
    <t xml:space="preserve">Fácil</t>
  </si>
  <si>
    <t xml:space="preserve">Total rastreado</t>
  </si>
  <si>
    <t xml:space="preserve">34% do estimado</t>
  </si>
  <si>
    <t xml:space="preserve">Média fácil</t>
  </si>
  <si>
    <t xml:space="preserve">28%</t>
  </si>
  <si>
    <t xml:space="preserve">Diferença</t>
  </si>
  <si>
    <t xml:space="preserve">Média</t>
  </si>
  <si>
    <t xml:space="preserve">Desvio médio %</t>
  </si>
  <si>
    <t xml:space="preserve">-16.9%</t>
  </si>
  <si>
    <t xml:space="preserve">Média difícil</t>
  </si>
  <si>
    <t xml:space="preserve">13%</t>
  </si>
  <si>
    <t xml:space="preserve">Tarefas OK (±10%)</t>
  </si>
  <si>
    <t xml:space="preserve">Difícil</t>
  </si>
  <si>
    <t xml:space="preserve">9%</t>
  </si>
  <si>
    <t xml:space="preserve">Tarefas acima</t>
  </si>
  <si>
    <t xml:space="preserve">&gt;10% a mais que estimado</t>
  </si>
  <si>
    <t xml:space="preserve">Tarefas abaixo</t>
  </si>
  <si>
    <t xml:space="preserve">&gt;10% a menos que estimado</t>
  </si>
  <si>
    <t xml:space="preserve">Sem rastreamento</t>
  </si>
  <si>
    <t xml:space="preserve">tarefas sem horas reais</t>
  </si>
  <si>
    <t xml:space="preserve">👥  MÉTRICAS POR PESSOA</t>
  </si>
  <si>
    <t xml:space="preserve">PERFORMANCE INDIVIDUAL</t>
  </si>
  <si>
    <t xml:space="preserve">Responsável</t>
  </si>
  <si>
    <t xml:space="preserve">Total</t>
  </si>
  <si>
    <t xml:space="preserve">Fechadas</t>
  </si>
  <si>
    <t xml:space="preserve">Abertas</t>
  </si>
  <si>
    <t xml:space="preserve">% Conclusão</t>
  </si>
  <si>
    <t xml:space="preserve">H. Estimadas</t>
  </si>
  <si>
    <t xml:space="preserve">H. Rastreadas</t>
  </si>
  <si>
    <t xml:space="preserve">H. Méd/Tarefa</t>
  </si>
  <si>
    <t xml:space="preserve">Rafael Brutscher Bachinski</t>
  </si>
  <si>
    <t xml:space="preserve">Eduardo Dotto</t>
  </si>
  <si>
    <t xml:space="preserve">Arthur Rostirolla</t>
  </si>
  <si>
    <t xml:space="preserve">Lucas</t>
  </si>
  <si>
    <t xml:space="preserve">Nícolas Deves</t>
  </si>
  <si>
    <t xml:space="preserve">Jarder Cardoso</t>
  </si>
  <si>
    <t xml:space="preserve">Júlio César Schmidt</t>
  </si>
  <si>
    <t xml:space="preserve">Guilherme Kliemann</t>
  </si>
  <si>
    <t xml:space="preserve">João Vitor Caneppele</t>
  </si>
  <si>
    <t xml:space="preserve">Vinícius Agassi</t>
  </si>
  <si>
    <t xml:space="preserve">Daniela Stohr</t>
  </si>
  <si>
    <t xml:space="preserve">Pedro Henrique Oliveira Fonseca</t>
  </si>
  <si>
    <t xml:space="preserve">Danton Yuri Rutz</t>
  </si>
  <si>
    <t xml:space="preserve">MIX DE TIPO POR PESSOA</t>
  </si>
  <si>
    <t xml:space="preserve">🏢  MÉTRICAS POR CLIENTE / PROJETO</t>
  </si>
  <si>
    <t xml:space="preserve">DEMANDAS E HORAS POR CLIENTE</t>
  </si>
  <si>
    <t xml:space="preserve">Cliente / Projeto</t>
  </si>
  <si>
    <t xml:space="preserve">MES3 Unified</t>
  </si>
  <si>
    <t xml:space="preserve">STW</t>
  </si>
  <si>
    <t xml:space="preserve">CCPR Contagem</t>
  </si>
  <si>
    <t xml:space="preserve">C.Vale F2</t>
  </si>
  <si>
    <t xml:space="preserve">John Deere</t>
  </si>
  <si>
    <t xml:space="preserve">CCPR Curvelo</t>
  </si>
  <si>
    <t xml:space="preserve">C.Vale F1</t>
  </si>
  <si>
    <t xml:space="preserve">ADM</t>
  </si>
  <si>
    <t xml:space="preserve">Agroceres</t>
  </si>
  <si>
    <t xml:space="preserve">Agrária Maltaria</t>
  </si>
  <si>
    <t xml:space="preserve">Motasa</t>
  </si>
  <si>
    <t xml:space="preserve">Watch Field</t>
  </si>
  <si>
    <t xml:space="preserve">Brasfeed</t>
  </si>
  <si>
    <t xml:space="preserve">Hitachi</t>
  </si>
  <si>
    <t xml:space="preserve">BRF Arroio do Meio</t>
  </si>
  <si>
    <t xml:space="preserve">Levo Alimentos</t>
  </si>
  <si>
    <t xml:space="preserve">Vibra</t>
  </si>
  <si>
    <t xml:space="preserve">BRF Toledo</t>
  </si>
  <si>
    <t xml:space="preserve">BRF</t>
  </si>
  <si>
    <t xml:space="preserve">Agrifirm</t>
  </si>
  <si>
    <t xml:space="preserve">BRF Uberlândia</t>
  </si>
  <si>
    <t xml:space="preserve">Farmabase</t>
  </si>
  <si>
    <t xml:space="preserve">DSM</t>
  </si>
  <si>
    <t xml:space="preserve">Embaquim</t>
  </si>
  <si>
    <t xml:space="preserve">⚠️  ALERTAS E QUALIDADE DE DADOS</t>
  </si>
  <si>
    <t xml:space="preserve">QUALIDADE DOS DADOS</t>
  </si>
  <si>
    <t xml:space="preserve">Problema</t>
  </si>
  <si>
    <t xml:space="preserve">Qtd tarefas</t>
  </si>
  <si>
    <t xml:space="preserve">% do total</t>
  </si>
  <si>
    <t xml:space="preserve">Ação recomendada</t>
  </si>
  <si>
    <t xml:space="preserve">Sem responsável</t>
  </si>
  <si>
    <t xml:space="preserve">19%</t>
  </si>
  <si>
    <t xml:space="preserve">Atribuir dono</t>
  </si>
  <si>
    <t xml:space="preserve">Sem tipo de tarefa</t>
  </si>
  <si>
    <t xml:space="preserve">Categorizar</t>
  </si>
  <si>
    <t xml:space="preserve">Sem tempo estimado</t>
  </si>
  <si>
    <t xml:space="preserve">Estimar horas</t>
  </si>
  <si>
    <t xml:space="preserve">58%</t>
  </si>
  <si>
    <t xml:space="preserve">Registrar horas</t>
  </si>
  <si>
    <t xml:space="preserve">Sem prioridade</t>
  </si>
  <si>
    <t xml:space="preserve">26%</t>
  </si>
  <si>
    <t xml:space="preserve">Definir prioridade</t>
  </si>
  <si>
    <t xml:space="preserve">Sem cliente vinculado</t>
  </si>
  <si>
    <t xml:space="preserve">27%</t>
  </si>
  <si>
    <t xml:space="preserve">Vincular cliente</t>
  </si>
  <si>
    <t xml:space="preserve">TAREFAS ATRASADAS</t>
  </si>
  <si>
    <t xml:space="preserve">Tarefa</t>
  </si>
  <si>
    <t xml:space="preserve">Vencimento</t>
  </si>
  <si>
    <t xml:space="preserve">Dias atraso</t>
  </si>
  <si>
    <t xml:space="preserve">Feature: Criação de Página de Inserção Q.A</t>
  </si>
  <si>
    <t xml:space="preserve">Consulta de ordem para coletas Q.A</t>
  </si>
  <si>
    <t xml:space="preserve">Diagrama de métodos para Q.A</t>
  </si>
  <si>
    <t xml:space="preserve">Feature: fazer backup de teste do banco e adequar para o MES</t>
  </si>
  <si>
    <t xml:space="preserve">Eduardo Dotto, Daniela Stohr</t>
  </si>
  <si>
    <t xml:space="preserve">Feature: criar tags cvale_f1 do modulo de transporte para po</t>
  </si>
  <si>
    <t xml:space="preserve">Docs: Atualizar documentos padrão a serem desenvolvidos por </t>
  </si>
  <si>
    <t xml:space="preserve">Lucas, Eduardo Dotto</t>
  </si>
  <si>
    <t xml:space="preserve">Code Review: branch de Report Modules. Validar tela e backen</t>
  </si>
  <si>
    <t xml:space="preserve">Júlio César Schmidt, Guilherme Kliemann, Lucas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</si>
</sst>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#,##0.0"/>
    <numFmt numFmtId="168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375623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595959"/>
      <name val="Arial"/>
      <family val="0"/>
      <charset val="1"/>
    </font>
    <font>
      <b val="true"/>
      <sz val="22"/>
      <color rgb="FFBF8F00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F81BD"/>
      </patternFill>
    </fill>
    <fill>
      <patternFill patternType="solid">
        <fgColor rgb="FF595959"/>
        <bgColor rgb="FF375623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DDEBF7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CE4D6"/>
      <rgbColor rgb="FFF2F2F2"/>
      <rgbColor rgb="FFF9F9F9"/>
      <rgbColor rgb="FFCC99FF"/>
      <rgbColor rgb="FFF4CCCC"/>
      <rgbColor rgb="FF2E75B6"/>
      <rgbColor rgb="FF33CCCC"/>
      <rgbColor rgb="FF9BBB59"/>
      <rgbColor rgb="FFFFCC00"/>
      <rgbColor rgb="FFBF8F00"/>
      <rgbColor rgb="FFFF6600"/>
      <rgbColor rgb="FF595959"/>
      <rgbColor rgb="FFAAAAAA"/>
      <rgbColor rgb="FF1F3864"/>
      <rgbColor rgb="FF4F81BD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Tarefas por Pessoa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'👥 Por Pessoa'!B4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Por Pessoa'!$A$5:$A$17</c:f>
              <c:strCache>
                <c:ptCount val="13"/>
                <c:pt idx="0">
                  <c:v>Rafael Brutscher Bachinski</c:v>
                </c:pt>
                <c:pt idx="1">
                  <c:v>Eduardo Dotto</c:v>
                </c:pt>
                <c:pt idx="2">
                  <c:v>Arthur Rostirolla</c:v>
                </c:pt>
                <c:pt idx="3">
                  <c:v>Lucas</c:v>
                </c:pt>
                <c:pt idx="4">
                  <c:v>Nícolas Deves</c:v>
                </c:pt>
                <c:pt idx="5">
                  <c:v>Jarder Cardoso</c:v>
                </c:pt>
                <c:pt idx="6">
                  <c:v>Júlio César Schmidt</c:v>
                </c:pt>
                <c:pt idx="7">
                  <c:v>Guilherme Kliemann</c:v>
                </c:pt>
                <c:pt idx="8">
                  <c:v>João Vitor Caneppele</c:v>
                </c:pt>
                <c:pt idx="9">
                  <c:v>Vinícius Agassi</c:v>
                </c:pt>
                <c:pt idx="10">
                  <c:v>Daniela Stohr</c:v>
                </c:pt>
                <c:pt idx="11">
                  <c:v>Pedro Henrique Oliveira Fonseca</c:v>
                </c:pt>
                <c:pt idx="12">
                  <c:v>Danton Yuri Rutz</c:v>
                </c:pt>
              </c:strCache>
            </c:strRef>
          </c:cat>
          <c:val>
            <c:numRef>
              <c:f>'👥 Por Pessoa'!$B$5:$B$17</c:f>
              <c:numCache>
                <c:formatCode>#,##0</c:formatCode>
                <c:ptCount val="13"/>
                <c:pt idx="0">
                  <c:v>37</c:v>
                </c:pt>
                <c:pt idx="1">
                  <c:v>29</c:v>
                </c:pt>
                <c:pt idx="2">
                  <c:v>23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18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'👥 Por Pessoa'!C4</c:f>
              <c:strCache>
                <c:ptCount val="1"/>
                <c:pt idx="0">
                  <c:v>Fechadas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Por Pessoa'!$A$5:$A$17</c:f>
              <c:strCache>
                <c:ptCount val="13"/>
                <c:pt idx="0">
                  <c:v>Rafael Brutscher Bachinski</c:v>
                </c:pt>
                <c:pt idx="1">
                  <c:v>Eduardo Dotto</c:v>
                </c:pt>
                <c:pt idx="2">
                  <c:v>Arthur Rostirolla</c:v>
                </c:pt>
                <c:pt idx="3">
                  <c:v>Lucas</c:v>
                </c:pt>
                <c:pt idx="4">
                  <c:v>Nícolas Deves</c:v>
                </c:pt>
                <c:pt idx="5">
                  <c:v>Jarder Cardoso</c:v>
                </c:pt>
                <c:pt idx="6">
                  <c:v>Júlio César Schmidt</c:v>
                </c:pt>
                <c:pt idx="7">
                  <c:v>Guilherme Kliemann</c:v>
                </c:pt>
                <c:pt idx="8">
                  <c:v>João Vitor Caneppele</c:v>
                </c:pt>
                <c:pt idx="9">
                  <c:v>Vinícius Agassi</c:v>
                </c:pt>
                <c:pt idx="10">
                  <c:v>Daniela Stohr</c:v>
                </c:pt>
                <c:pt idx="11">
                  <c:v>Pedro Henrique Oliveira Fonseca</c:v>
                </c:pt>
                <c:pt idx="12">
                  <c:v>Danton Yuri Rutz</c:v>
                </c:pt>
              </c:strCache>
            </c:strRef>
          </c:cat>
          <c:val>
            <c:numRef>
              <c:f>'👥 Por Pessoa'!$C$5:$C$17</c:f>
              <c:numCache>
                <c:formatCode>#,##0</c:formatCode>
                <c:ptCount val="13"/>
                <c:pt idx="0">
                  <c:v>19</c:v>
                </c:pt>
                <c:pt idx="1">
                  <c:v>14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9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ser>
          <c:idx val="2"/>
          <c:order val="2"/>
          <c:tx>
            <c:strRef>
              <c:f>'👥 Por Pessoa'!D4</c:f>
              <c:strCache>
                <c:ptCount val="1"/>
                <c:pt idx="0">
                  <c:v>Abertas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Por Pessoa'!$A$5:$A$17</c:f>
              <c:strCache>
                <c:ptCount val="13"/>
                <c:pt idx="0">
                  <c:v>Rafael Brutscher Bachinski</c:v>
                </c:pt>
                <c:pt idx="1">
                  <c:v>Eduardo Dotto</c:v>
                </c:pt>
                <c:pt idx="2">
                  <c:v>Arthur Rostirolla</c:v>
                </c:pt>
                <c:pt idx="3">
                  <c:v>Lucas</c:v>
                </c:pt>
                <c:pt idx="4">
                  <c:v>Nícolas Deves</c:v>
                </c:pt>
                <c:pt idx="5">
                  <c:v>Jarder Cardoso</c:v>
                </c:pt>
                <c:pt idx="6">
                  <c:v>Júlio César Schmidt</c:v>
                </c:pt>
                <c:pt idx="7">
                  <c:v>Guilherme Kliemann</c:v>
                </c:pt>
                <c:pt idx="8">
                  <c:v>João Vitor Caneppele</c:v>
                </c:pt>
                <c:pt idx="9">
                  <c:v>Vinícius Agassi</c:v>
                </c:pt>
                <c:pt idx="10">
                  <c:v>Daniela Stohr</c:v>
                </c:pt>
                <c:pt idx="11">
                  <c:v>Pedro Henrique Oliveira Fonseca</c:v>
                </c:pt>
                <c:pt idx="12">
                  <c:v>Danton Yuri Rutz</c:v>
                </c:pt>
              </c:strCache>
            </c:strRef>
          </c:cat>
          <c:val>
            <c:numRef>
              <c:f>'👥 Por Pessoa'!$D$5:$D$17</c:f>
              <c:numCache>
                <c:formatCode>#,##0</c:formatCode>
                <c:ptCount val="13"/>
                <c:pt idx="0">
                  <c:v>18</c:v>
                </c:pt>
                <c:pt idx="1">
                  <c:v>15</c:v>
                </c:pt>
                <c:pt idx="2">
                  <c:v>9</c:v>
                </c:pt>
                <c:pt idx="3">
                  <c:v>12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  <c:pt idx="7">
                  <c:v>8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51559765"/>
        <c:axId val="72762026"/>
      </c:barChart>
      <c:catAx>
        <c:axId val="51559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62026"/>
        <c:crosses val="autoZero"/>
        <c:auto val="1"/>
        <c:lblAlgn val="ctr"/>
        <c:lblOffset val="100"/>
        <c:noMultiLvlLbl val="0"/>
      </c:catAx>
      <c:valAx>
        <c:axId val="72762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59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por Cliente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'🏢 Por Cliente'!F4</c:f>
              <c:strCache>
                <c:ptCount val="1"/>
                <c:pt idx="0">
                  <c:v>H. Estimadas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'🏢 Por Cliente'!$A$5:$A$14</c:f>
              <c:strCache>
                <c:ptCount val="10"/>
                <c:pt idx="0">
                  <c:v>MES3 Unified</c:v>
                </c:pt>
                <c:pt idx="1">
                  <c:v>STW</c:v>
                </c:pt>
                <c:pt idx="2">
                  <c:v>CCPR Contagem</c:v>
                </c:pt>
                <c:pt idx="3">
                  <c:v>C.Vale F2</c:v>
                </c:pt>
                <c:pt idx="4">
                  <c:v>John Deere</c:v>
                </c:pt>
                <c:pt idx="5">
                  <c:v>CCPR Curvelo</c:v>
                </c:pt>
                <c:pt idx="6">
                  <c:v>C.Vale F1</c:v>
                </c:pt>
                <c:pt idx="7">
                  <c:v>ADM</c:v>
                </c:pt>
                <c:pt idx="8">
                  <c:v>Agroceres</c:v>
                </c:pt>
                <c:pt idx="9">
                  <c:v>Agrária Maltaria</c:v>
                </c:pt>
              </c:strCache>
            </c:strRef>
          </c:cat>
          <c:val>
            <c:numRef>
              <c:f>'🏢 Por Cliente'!$F$5:$F$14</c:f>
              <c:numCache>
                <c:formatCode>#,##0</c:formatCode>
                <c:ptCount val="10"/>
                <c:pt idx="0">
                  <c:v>1892</c:v>
                </c:pt>
                <c:pt idx="1">
                  <c:v>226</c:v>
                </c:pt>
                <c:pt idx="2">
                  <c:v>53</c:v>
                </c:pt>
                <c:pt idx="3">
                  <c:v>48</c:v>
                </c:pt>
                <c:pt idx="4">
                  <c:v>89</c:v>
                </c:pt>
                <c:pt idx="5">
                  <c:v>26</c:v>
                </c:pt>
                <c:pt idx="6">
                  <c:v>77</c:v>
                </c:pt>
                <c:pt idx="7">
                  <c:v>2</c:v>
                </c:pt>
                <c:pt idx="8">
                  <c:v>32</c:v>
                </c:pt>
                <c:pt idx="9">
                  <c:v>57</c:v>
                </c:pt>
              </c:numCache>
            </c:numRef>
          </c:val>
        </c:ser>
        <c:ser>
          <c:idx val="1"/>
          <c:order val="1"/>
          <c:tx>
            <c:strRef>
              <c:f>'🏢 Por Cliente'!G4</c:f>
              <c:strCache>
                <c:ptCount val="1"/>
                <c:pt idx="0">
                  <c:v>H. Rastreadas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'🏢 Por Cliente'!$A$5:$A$14</c:f>
              <c:strCache>
                <c:ptCount val="10"/>
                <c:pt idx="0">
                  <c:v>MES3 Unified</c:v>
                </c:pt>
                <c:pt idx="1">
                  <c:v>STW</c:v>
                </c:pt>
                <c:pt idx="2">
                  <c:v>CCPR Contagem</c:v>
                </c:pt>
                <c:pt idx="3">
                  <c:v>C.Vale F2</c:v>
                </c:pt>
                <c:pt idx="4">
                  <c:v>John Deere</c:v>
                </c:pt>
                <c:pt idx="5">
                  <c:v>CCPR Curvelo</c:v>
                </c:pt>
                <c:pt idx="6">
                  <c:v>C.Vale F1</c:v>
                </c:pt>
                <c:pt idx="7">
                  <c:v>ADM</c:v>
                </c:pt>
                <c:pt idx="8">
                  <c:v>Agroceres</c:v>
                </c:pt>
                <c:pt idx="9">
                  <c:v>Agrária Maltaria</c:v>
                </c:pt>
              </c:strCache>
            </c:strRef>
          </c:cat>
          <c:val>
            <c:numRef>
              <c:f>'🏢 Por Cliente'!$G$5:$G$14</c:f>
              <c:numCache>
                <c:formatCode>#,##0</c:formatCode>
                <c:ptCount val="10"/>
                <c:pt idx="0">
                  <c:v>786</c:v>
                </c:pt>
                <c:pt idx="1">
                  <c:v>18</c:v>
                </c:pt>
                <c:pt idx="2">
                  <c:v>20</c:v>
                </c:pt>
                <c:pt idx="3">
                  <c:v>7</c:v>
                </c:pt>
                <c:pt idx="4">
                  <c:v>18</c:v>
                </c:pt>
                <c:pt idx="5">
                  <c:v>17</c:v>
                </c:pt>
                <c:pt idx="6">
                  <c:v>2</c:v>
                </c:pt>
                <c:pt idx="7">
                  <c:v>1</c:v>
                </c:pt>
                <c:pt idx="8">
                  <c:v>21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940120"/>
        <c:axId val="33513800"/>
      </c:barChart>
      <c:catAx>
        <c:axId val="594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13800"/>
        <c:crosses val="autoZero"/>
        <c:auto val="1"/>
        <c:lblAlgn val="ctr"/>
        <c:lblOffset val="100"/>
        <c:noMultiLvlLbl val="0"/>
      </c:catAx>
      <c:valAx>
        <c:axId val="33513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0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364680</xdr:colOff>
      <xdr:row>21</xdr:row>
      <xdr:rowOff>204840</xdr:rowOff>
    </xdr:to>
    <xdr:graphicFrame>
      <xdr:nvGraphicFramePr>
        <xdr:cNvPr id="0" name="Chart 1"/>
        <xdr:cNvGraphicFramePr/>
      </xdr:nvGraphicFramePr>
      <xdr:xfrm>
        <a:off x="8999280" y="590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364680</xdr:colOff>
      <xdr:row>21</xdr:row>
      <xdr:rowOff>204840</xdr:rowOff>
    </xdr:to>
    <xdr:graphicFrame>
      <xdr:nvGraphicFramePr>
        <xdr:cNvPr id="1" name="Chart 1"/>
        <xdr:cNvGraphicFramePr/>
      </xdr:nvGraphicFramePr>
      <xdr:xfrm>
        <a:off x="7025760" y="590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6" min="5" style="0" width="2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0" min="10" style="0" width="2"/>
    <col collapsed="false" customWidth="true" hidden="false" outlineLevel="0" max="11" min="11" style="0" width="14"/>
    <col collapsed="false" customWidth="true" hidden="false" outlineLevel="0" max="12" min="12" style="0" width="7"/>
    <col collapsed="false" customWidth="true" hidden="false" outlineLevel="0" max="14" min="13" style="0" width="6"/>
    <col collapsed="false" customWidth="true" hidden="false" outlineLevel="0" max="15" min="15" style="0" width="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  <c r="J4" s="7" t="s">
        <v>6</v>
      </c>
      <c r="K4" s="7"/>
      <c r="L4" s="8" t="s">
        <v>7</v>
      </c>
      <c r="M4" s="8"/>
      <c r="N4" s="5" t="s">
        <v>8</v>
      </c>
      <c r="O4" s="5"/>
      <c r="P4" s="7" t="s">
        <v>9</v>
      </c>
      <c r="Q4" s="7"/>
    </row>
    <row r="5" customFormat="false" ht="19.5" hidden="false" customHeight="true" outlineLevel="0" collapsed="false">
      <c r="B5" s="9" t="n">
        <v>209</v>
      </c>
      <c r="C5" s="9"/>
      <c r="D5" s="10" t="n">
        <v>79</v>
      </c>
      <c r="E5" s="10"/>
      <c r="F5" s="11" t="n">
        <v>13</v>
      </c>
      <c r="G5" s="11"/>
      <c r="H5" s="12" t="n">
        <v>73</v>
      </c>
      <c r="I5" s="12"/>
      <c r="J5" s="13" t="n">
        <v>16</v>
      </c>
      <c r="K5" s="13"/>
      <c r="L5" s="14" t="n">
        <v>8</v>
      </c>
      <c r="M5" s="14"/>
      <c r="N5" s="11" t="n">
        <v>2912</v>
      </c>
      <c r="O5" s="11"/>
      <c r="P5" s="13" t="s">
        <v>10</v>
      </c>
      <c r="Q5" s="13"/>
    </row>
    <row r="6" customFormat="false" ht="19.5" hidden="false" customHeight="true" outlineLevel="0" collapsed="false">
      <c r="B6" s="15" t="s">
        <v>11</v>
      </c>
      <c r="C6" s="15"/>
      <c r="D6" s="15" t="s">
        <v>12</v>
      </c>
      <c r="E6" s="15"/>
      <c r="F6" s="15" t="s">
        <v>13</v>
      </c>
      <c r="G6" s="15"/>
      <c r="H6" s="15" t="s">
        <v>14</v>
      </c>
      <c r="I6" s="15"/>
      <c r="J6" s="15" t="s">
        <v>15</v>
      </c>
      <c r="K6" s="15"/>
      <c r="L6" s="15" t="s">
        <v>16</v>
      </c>
      <c r="M6" s="15"/>
      <c r="N6" s="15" t="s">
        <v>17</v>
      </c>
      <c r="O6" s="15"/>
      <c r="P6" s="15" t="s">
        <v>18</v>
      </c>
      <c r="Q6" s="15"/>
    </row>
    <row r="7" customFormat="false" ht="7.5" hidden="false" customHeight="true" outlineLevel="0" collapsed="false"/>
    <row r="8" customFormat="false" ht="15" hidden="false" customHeight="false" outlineLevel="0" collapsed="false">
      <c r="B8" s="16" t="s">
        <v>19</v>
      </c>
      <c r="C8" s="16"/>
      <c r="D8" s="16"/>
      <c r="E8" s="16"/>
      <c r="G8" s="16" t="s">
        <v>20</v>
      </c>
      <c r="H8" s="16"/>
      <c r="I8" s="16"/>
      <c r="J8" s="16"/>
      <c r="L8" s="16" t="s">
        <v>21</v>
      </c>
      <c r="M8" s="16"/>
      <c r="N8" s="16"/>
    </row>
    <row r="9" customFormat="false" ht="15" hidden="false" customHeight="false" outlineLevel="0" collapsed="false">
      <c r="B9" s="17" t="s">
        <v>22</v>
      </c>
      <c r="C9" s="17" t="s">
        <v>23</v>
      </c>
      <c r="D9" s="17" t="s">
        <v>24</v>
      </c>
      <c r="G9" s="17" t="s">
        <v>25</v>
      </c>
      <c r="H9" s="17" t="s">
        <v>23</v>
      </c>
      <c r="I9" s="17" t="s">
        <v>24</v>
      </c>
      <c r="L9" s="17" t="s">
        <v>26</v>
      </c>
      <c r="M9" s="17" t="s">
        <v>23</v>
      </c>
      <c r="N9" s="17" t="s">
        <v>27</v>
      </c>
    </row>
    <row r="10" customFormat="false" ht="15" hidden="false" customHeight="false" outlineLevel="0" collapsed="false">
      <c r="B10" s="18" t="s">
        <v>28</v>
      </c>
      <c r="C10" s="19" t="n">
        <v>79</v>
      </c>
      <c r="D10" s="20" t="s">
        <v>29</v>
      </c>
      <c r="G10" s="21" t="s">
        <v>30</v>
      </c>
      <c r="H10" s="19" t="n">
        <v>99</v>
      </c>
      <c r="I10" s="20" t="s">
        <v>31</v>
      </c>
      <c r="L10" s="22" t="s">
        <v>32</v>
      </c>
      <c r="M10" s="19" t="n">
        <v>65</v>
      </c>
      <c r="N10" s="20" t="s">
        <v>33</v>
      </c>
    </row>
    <row r="11" customFormat="false" ht="15" hidden="false" customHeight="false" outlineLevel="0" collapsed="false">
      <c r="B11" s="23" t="s">
        <v>34</v>
      </c>
      <c r="C11" s="24" t="n">
        <v>61</v>
      </c>
      <c r="D11" s="25" t="s">
        <v>35</v>
      </c>
      <c r="G11" s="26" t="s">
        <v>36</v>
      </c>
      <c r="H11" s="24" t="n">
        <v>43</v>
      </c>
      <c r="I11" s="25" t="s">
        <v>37</v>
      </c>
      <c r="L11" s="26" t="s">
        <v>38</v>
      </c>
      <c r="M11" s="24" t="n">
        <v>63</v>
      </c>
      <c r="N11" s="25" t="s">
        <v>39</v>
      </c>
    </row>
    <row r="12" customFormat="false" ht="15" hidden="false" customHeight="false" outlineLevel="0" collapsed="false">
      <c r="B12" s="22" t="s">
        <v>40</v>
      </c>
      <c r="C12" s="19" t="n">
        <v>14</v>
      </c>
      <c r="D12" s="20" t="s">
        <v>41</v>
      </c>
      <c r="G12" s="21" t="s">
        <v>42</v>
      </c>
      <c r="H12" s="19" t="n">
        <v>5</v>
      </c>
      <c r="I12" s="20" t="s">
        <v>43</v>
      </c>
      <c r="L12" s="18" t="s">
        <v>44</v>
      </c>
      <c r="M12" s="19" t="n">
        <v>20</v>
      </c>
      <c r="N12" s="20" t="s">
        <v>45</v>
      </c>
    </row>
    <row r="13" customFormat="false" ht="15" hidden="false" customHeight="false" outlineLevel="0" collapsed="false">
      <c r="B13" s="27" t="s">
        <v>46</v>
      </c>
      <c r="C13" s="24" t="n">
        <v>13</v>
      </c>
      <c r="D13" s="25" t="s">
        <v>47</v>
      </c>
      <c r="G13" s="26" t="s">
        <v>48</v>
      </c>
      <c r="H13" s="24" t="n">
        <v>5</v>
      </c>
      <c r="I13" s="25" t="s">
        <v>43</v>
      </c>
      <c r="L13" s="28" t="s">
        <v>49</v>
      </c>
      <c r="M13" s="24" t="n">
        <v>6</v>
      </c>
      <c r="N13" s="25" t="s">
        <v>50</v>
      </c>
    </row>
    <row r="14" customFormat="false" ht="15" hidden="false" customHeight="false" outlineLevel="0" collapsed="false">
      <c r="B14" s="23" t="s">
        <v>51</v>
      </c>
      <c r="C14" s="19" t="n">
        <v>12</v>
      </c>
      <c r="D14" s="20" t="s">
        <v>47</v>
      </c>
      <c r="G14" s="21" t="s">
        <v>52</v>
      </c>
      <c r="H14" s="19" t="n">
        <v>3</v>
      </c>
      <c r="I14" s="20" t="s">
        <v>53</v>
      </c>
    </row>
    <row r="15" customFormat="false" ht="15" hidden="false" customHeight="false" outlineLevel="0" collapsed="false">
      <c r="B15" s="28" t="s">
        <v>54</v>
      </c>
      <c r="C15" s="24" t="n">
        <v>10</v>
      </c>
      <c r="D15" s="25" t="s">
        <v>55</v>
      </c>
      <c r="G15" s="26" t="s">
        <v>56</v>
      </c>
      <c r="H15" s="24" t="n">
        <v>2</v>
      </c>
      <c r="I15" s="25" t="s">
        <v>53</v>
      </c>
    </row>
    <row r="16" customFormat="false" ht="15" hidden="false" customHeight="false" outlineLevel="0" collapsed="false">
      <c r="B16" s="26" t="s">
        <v>57</v>
      </c>
      <c r="C16" s="19" t="n">
        <v>8</v>
      </c>
      <c r="D16" s="20" t="s">
        <v>58</v>
      </c>
      <c r="G16" s="21" t="s">
        <v>59</v>
      </c>
      <c r="H16" s="19" t="n">
        <v>1</v>
      </c>
      <c r="I16" s="20" t="s">
        <v>60</v>
      </c>
    </row>
    <row r="17" customFormat="false" ht="15" hidden="false" customHeight="false" outlineLevel="0" collapsed="false">
      <c r="B17" s="28" t="s">
        <v>61</v>
      </c>
      <c r="C17" s="24" t="n">
        <v>3</v>
      </c>
      <c r="D17" s="25" t="s">
        <v>53</v>
      </c>
      <c r="G17" s="26" t="s">
        <v>62</v>
      </c>
      <c r="H17" s="24" t="n">
        <v>51</v>
      </c>
      <c r="I17" s="25" t="s">
        <v>63</v>
      </c>
    </row>
    <row r="18" customFormat="false" ht="15" hidden="false" customHeight="false" outlineLevel="0" collapsed="false">
      <c r="B18" s="28" t="s">
        <v>64</v>
      </c>
      <c r="C18" s="19" t="n">
        <v>2</v>
      </c>
      <c r="D18" s="20" t="s">
        <v>53</v>
      </c>
    </row>
    <row r="19" customFormat="false" ht="15" hidden="false" customHeight="false" outlineLevel="0" collapsed="false">
      <c r="B19" s="28" t="s">
        <v>65</v>
      </c>
      <c r="C19" s="24" t="n">
        <v>1</v>
      </c>
      <c r="D19" s="25" t="s">
        <v>60</v>
      </c>
    </row>
    <row r="21" customFormat="false" ht="7.5" hidden="false" customHeight="true" outlineLevel="0" collapsed="false"/>
    <row r="22" customFormat="false" ht="15" hidden="false" customHeight="false" outlineLevel="0" collapsed="false">
      <c r="B22" s="2" t="s">
        <v>66</v>
      </c>
      <c r="C22" s="2"/>
      <c r="D22" s="2"/>
      <c r="E22" s="2"/>
      <c r="F22" s="2"/>
      <c r="G22" s="2"/>
      <c r="H22" s="2"/>
      <c r="I22" s="2"/>
      <c r="K22" s="2" t="s">
        <v>67</v>
      </c>
      <c r="L22" s="2"/>
      <c r="M22" s="2"/>
    </row>
    <row r="23" customFormat="false" ht="18" hidden="false" customHeight="true" outlineLevel="0" collapsed="false">
      <c r="B23" s="17" t="s">
        <v>68</v>
      </c>
      <c r="C23" s="17" t="s">
        <v>69</v>
      </c>
      <c r="D23" s="17" t="s">
        <v>70</v>
      </c>
      <c r="K23" s="17" t="s">
        <v>71</v>
      </c>
      <c r="L23" s="17" t="s">
        <v>23</v>
      </c>
      <c r="M23" s="17" t="s">
        <v>27</v>
      </c>
    </row>
    <row r="24" customFormat="false" ht="18" hidden="false" customHeight="true" outlineLevel="0" collapsed="false">
      <c r="B24" s="21" t="s">
        <v>72</v>
      </c>
      <c r="C24" s="19" t="n">
        <v>2912</v>
      </c>
      <c r="D24" s="21" t="s">
        <v>73</v>
      </c>
      <c r="K24" s="18" t="s">
        <v>74</v>
      </c>
      <c r="L24" s="19" t="n">
        <v>21</v>
      </c>
      <c r="M24" s="20" t="s">
        <v>45</v>
      </c>
    </row>
    <row r="25" customFormat="false" ht="18" hidden="false" customHeight="true" outlineLevel="0" collapsed="false">
      <c r="B25" s="26" t="s">
        <v>75</v>
      </c>
      <c r="C25" s="24" t="n">
        <v>979</v>
      </c>
      <c r="D25" s="26" t="s">
        <v>76</v>
      </c>
      <c r="K25" s="26" t="s">
        <v>77</v>
      </c>
      <c r="L25" s="24" t="n">
        <v>58</v>
      </c>
      <c r="M25" s="25" t="s">
        <v>78</v>
      </c>
    </row>
    <row r="26" customFormat="false" ht="18" hidden="false" customHeight="true" outlineLevel="0" collapsed="false">
      <c r="B26" s="21" t="s">
        <v>79</v>
      </c>
      <c r="C26" s="19" t="n">
        <v>-1933</v>
      </c>
      <c r="D26" s="21"/>
      <c r="K26" s="22" t="s">
        <v>80</v>
      </c>
      <c r="L26" s="19" t="n">
        <v>62</v>
      </c>
      <c r="M26" s="20" t="s">
        <v>39</v>
      </c>
    </row>
    <row r="27" customFormat="false" ht="18" hidden="false" customHeight="true" outlineLevel="0" collapsed="false">
      <c r="B27" s="26" t="s">
        <v>81</v>
      </c>
      <c r="C27" s="24"/>
      <c r="D27" s="26" t="s">
        <v>82</v>
      </c>
      <c r="K27" s="28" t="s">
        <v>83</v>
      </c>
      <c r="L27" s="24" t="n">
        <v>27</v>
      </c>
      <c r="M27" s="25" t="s">
        <v>84</v>
      </c>
    </row>
    <row r="28" customFormat="false" ht="18" hidden="false" customHeight="true" outlineLevel="0" collapsed="false">
      <c r="B28" s="21" t="s">
        <v>85</v>
      </c>
      <c r="C28" s="19" t="n">
        <v>49</v>
      </c>
      <c r="D28" s="21"/>
      <c r="K28" s="29" t="s">
        <v>86</v>
      </c>
      <c r="L28" s="19" t="n">
        <v>19</v>
      </c>
      <c r="M28" s="20" t="s">
        <v>87</v>
      </c>
    </row>
    <row r="29" customFormat="false" ht="18" hidden="false" customHeight="true" outlineLevel="0" collapsed="false">
      <c r="B29" s="26" t="s">
        <v>88</v>
      </c>
      <c r="C29" s="24" t="n">
        <v>3</v>
      </c>
      <c r="D29" s="26" t="s">
        <v>89</v>
      </c>
    </row>
    <row r="30" customFormat="false" ht="18" hidden="false" customHeight="true" outlineLevel="0" collapsed="false">
      <c r="B30" s="21" t="s">
        <v>90</v>
      </c>
      <c r="C30" s="19" t="n">
        <v>22</v>
      </c>
      <c r="D30" s="21" t="s">
        <v>91</v>
      </c>
    </row>
    <row r="31" customFormat="false" ht="18" hidden="false" customHeight="true" outlineLevel="0" collapsed="false">
      <c r="B31" s="26" t="s">
        <v>92</v>
      </c>
      <c r="C31" s="24" t="n">
        <v>122</v>
      </c>
      <c r="D31" s="26" t="s">
        <v>93</v>
      </c>
    </row>
  </sheetData>
  <mergeCells count="31">
    <mergeCell ref="B1:O1"/>
    <mergeCell ref="B3:O3"/>
    <mergeCell ref="B4:C4"/>
    <mergeCell ref="D4:E4"/>
    <mergeCell ref="F4:G4"/>
    <mergeCell ref="H4:I4"/>
    <mergeCell ref="J4:K4"/>
    <mergeCell ref="L4:M4"/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B8:E8"/>
    <mergeCell ref="G8:J8"/>
    <mergeCell ref="L8:N8"/>
    <mergeCell ref="B22:I22"/>
    <mergeCell ref="K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3"/>
  </cols>
  <sheetData>
    <row r="1" customFormat="false" ht="24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7.5" hidden="false" customHeight="true" outlineLevel="0" collapsed="false"/>
    <row r="3" customFormat="false" ht="15" hidden="false" customHeight="false" outlineLevel="0" collapsed="false">
      <c r="A3" s="16" t="s">
        <v>95</v>
      </c>
      <c r="B3" s="16"/>
      <c r="C3" s="16"/>
      <c r="D3" s="16"/>
      <c r="E3" s="16"/>
      <c r="F3" s="16"/>
      <c r="G3" s="16"/>
      <c r="H3" s="16"/>
      <c r="I3" s="16"/>
    </row>
    <row r="4" customFormat="false" ht="18" hidden="false" customHeight="true" outlineLevel="0" collapsed="false">
      <c r="A4" s="17" t="s">
        <v>96</v>
      </c>
      <c r="B4" s="17" t="s">
        <v>97</v>
      </c>
      <c r="C4" s="17" t="s">
        <v>98</v>
      </c>
      <c r="D4" s="17" t="s">
        <v>99</v>
      </c>
      <c r="E4" s="17" t="s">
        <v>46</v>
      </c>
      <c r="F4" s="17" t="s">
        <v>100</v>
      </c>
      <c r="G4" s="17" t="s">
        <v>101</v>
      </c>
      <c r="H4" s="17" t="s">
        <v>102</v>
      </c>
      <c r="I4" s="17" t="s">
        <v>103</v>
      </c>
    </row>
    <row r="5" customFormat="false" ht="18" hidden="false" customHeight="true" outlineLevel="0" collapsed="false">
      <c r="A5" s="21" t="s">
        <v>104</v>
      </c>
      <c r="B5" s="19" t="n">
        <v>37</v>
      </c>
      <c r="C5" s="19" t="n">
        <v>19</v>
      </c>
      <c r="D5" s="19" t="n">
        <v>18</v>
      </c>
      <c r="E5" s="19" t="n">
        <v>2</v>
      </c>
      <c r="F5" s="20" t="n">
        <v>0.513513513513514</v>
      </c>
      <c r="G5" s="19" t="n">
        <v>276</v>
      </c>
      <c r="H5" s="19" t="n">
        <v>57</v>
      </c>
      <c r="I5" s="30" t="n">
        <v>7.5</v>
      </c>
    </row>
    <row r="6" customFormat="false" ht="18" hidden="false" customHeight="true" outlineLevel="0" collapsed="false">
      <c r="A6" s="26" t="s">
        <v>105</v>
      </c>
      <c r="B6" s="24" t="n">
        <v>29</v>
      </c>
      <c r="C6" s="24" t="n">
        <v>14</v>
      </c>
      <c r="D6" s="24" t="n">
        <v>15</v>
      </c>
      <c r="E6" s="24" t="n">
        <v>4</v>
      </c>
      <c r="F6" s="25" t="n">
        <v>0.482758620689655</v>
      </c>
      <c r="G6" s="24" t="n">
        <v>266</v>
      </c>
      <c r="H6" s="24" t="n">
        <v>143</v>
      </c>
      <c r="I6" s="31" t="n">
        <v>9.2</v>
      </c>
    </row>
    <row r="7" customFormat="false" ht="18" hidden="false" customHeight="true" outlineLevel="0" collapsed="false">
      <c r="A7" s="21" t="s">
        <v>106</v>
      </c>
      <c r="B7" s="19" t="n">
        <v>23</v>
      </c>
      <c r="C7" s="19" t="n">
        <v>14</v>
      </c>
      <c r="D7" s="19" t="n">
        <v>9</v>
      </c>
      <c r="E7" s="19" t="n">
        <v>2</v>
      </c>
      <c r="F7" s="20" t="n">
        <v>0.608695652173913</v>
      </c>
      <c r="G7" s="19" t="n">
        <v>576</v>
      </c>
      <c r="H7" s="19" t="n">
        <v>441</v>
      </c>
      <c r="I7" s="30" t="n">
        <v>25</v>
      </c>
    </row>
    <row r="8" customFormat="false" ht="18" hidden="false" customHeight="true" outlineLevel="0" collapsed="false">
      <c r="A8" s="26" t="s">
        <v>107</v>
      </c>
      <c r="B8" s="24" t="n">
        <v>23</v>
      </c>
      <c r="C8" s="24" t="n">
        <v>11</v>
      </c>
      <c r="D8" s="24" t="n">
        <v>12</v>
      </c>
      <c r="E8" s="24" t="n">
        <v>0</v>
      </c>
      <c r="F8" s="25" t="n">
        <v>0.478260869565217</v>
      </c>
      <c r="G8" s="24" t="n">
        <v>717</v>
      </c>
      <c r="H8" s="24" t="n">
        <v>217</v>
      </c>
      <c r="I8" s="31" t="n">
        <v>31.2</v>
      </c>
    </row>
    <row r="9" customFormat="false" ht="18" hidden="false" customHeight="true" outlineLevel="0" collapsed="false">
      <c r="A9" s="21" t="s">
        <v>108</v>
      </c>
      <c r="B9" s="19" t="n">
        <v>22</v>
      </c>
      <c r="C9" s="19" t="n">
        <v>13</v>
      </c>
      <c r="D9" s="19" t="n">
        <v>9</v>
      </c>
      <c r="E9" s="19" t="n">
        <v>0</v>
      </c>
      <c r="F9" s="20" t="n">
        <v>0.590909090909091</v>
      </c>
      <c r="G9" s="19" t="n">
        <v>491</v>
      </c>
      <c r="H9" s="19" t="n">
        <v>262</v>
      </c>
      <c r="I9" s="30" t="n">
        <v>22.3</v>
      </c>
    </row>
    <row r="10" customFormat="false" ht="18" hidden="false" customHeight="true" outlineLevel="0" collapsed="false">
      <c r="A10" s="26" t="s">
        <v>109</v>
      </c>
      <c r="B10" s="24" t="n">
        <v>20</v>
      </c>
      <c r="C10" s="24" t="n">
        <v>9</v>
      </c>
      <c r="D10" s="24" t="n">
        <v>11</v>
      </c>
      <c r="E10" s="24" t="n">
        <v>3</v>
      </c>
      <c r="F10" s="25" t="n">
        <v>0.45</v>
      </c>
      <c r="G10" s="24" t="n">
        <v>107</v>
      </c>
      <c r="H10" s="24" t="n">
        <v>18</v>
      </c>
      <c r="I10" s="31" t="n">
        <v>5.3</v>
      </c>
    </row>
    <row r="11" customFormat="false" ht="18" hidden="false" customHeight="true" outlineLevel="0" collapsed="false">
      <c r="A11" s="21" t="s">
        <v>110</v>
      </c>
      <c r="B11" s="19" t="n">
        <v>18</v>
      </c>
      <c r="C11" s="19" t="n">
        <v>1</v>
      </c>
      <c r="D11" s="19" t="n">
        <v>17</v>
      </c>
      <c r="E11" s="19" t="n">
        <v>0</v>
      </c>
      <c r="F11" s="20" t="n">
        <v>0.0555555555555556</v>
      </c>
      <c r="G11" s="19" t="n">
        <v>337</v>
      </c>
      <c r="H11" s="19" t="n">
        <v>0</v>
      </c>
      <c r="I11" s="30" t="n">
        <v>18.7</v>
      </c>
    </row>
    <row r="12" customFormat="false" ht="18" hidden="false" customHeight="true" outlineLevel="0" collapsed="false">
      <c r="A12" s="26" t="s">
        <v>111</v>
      </c>
      <c r="B12" s="24" t="n">
        <v>11</v>
      </c>
      <c r="C12" s="24" t="n">
        <v>3</v>
      </c>
      <c r="D12" s="24" t="n">
        <v>8</v>
      </c>
      <c r="E12" s="24" t="n">
        <v>2</v>
      </c>
      <c r="F12" s="25" t="n">
        <v>0.272727272727273</v>
      </c>
      <c r="G12" s="24" t="n">
        <v>205</v>
      </c>
      <c r="H12" s="24" t="n">
        <v>54</v>
      </c>
      <c r="I12" s="31" t="n">
        <v>18.6</v>
      </c>
    </row>
    <row r="13" customFormat="false" ht="18" hidden="false" customHeight="true" outlineLevel="0" collapsed="false">
      <c r="A13" s="21" t="s">
        <v>112</v>
      </c>
      <c r="B13" s="19" t="n">
        <v>6</v>
      </c>
      <c r="C13" s="19" t="n">
        <v>2</v>
      </c>
      <c r="D13" s="19" t="n">
        <v>4</v>
      </c>
      <c r="E13" s="19" t="n">
        <v>0</v>
      </c>
      <c r="F13" s="20" t="n">
        <v>0.333333333333333</v>
      </c>
      <c r="G13" s="19" t="n">
        <v>126</v>
      </c>
      <c r="H13" s="19" t="n">
        <v>40</v>
      </c>
      <c r="I13" s="30" t="n">
        <v>21</v>
      </c>
    </row>
    <row r="14" customFormat="false" ht="18" hidden="false" customHeight="true" outlineLevel="0" collapsed="false">
      <c r="A14" s="26" t="s">
        <v>113</v>
      </c>
      <c r="B14" s="24" t="n">
        <v>3</v>
      </c>
      <c r="C14" s="24" t="n">
        <v>0</v>
      </c>
      <c r="D14" s="24" t="n">
        <v>3</v>
      </c>
      <c r="E14" s="24" t="n">
        <v>0</v>
      </c>
      <c r="F14" s="25" t="n">
        <v>0</v>
      </c>
      <c r="G14" s="24" t="n">
        <v>21</v>
      </c>
      <c r="H14" s="24" t="n">
        <v>0</v>
      </c>
      <c r="I14" s="31" t="n">
        <v>7</v>
      </c>
    </row>
    <row r="15" customFormat="false" ht="18" hidden="false" customHeight="true" outlineLevel="0" collapsed="false">
      <c r="A15" s="21" t="s">
        <v>114</v>
      </c>
      <c r="B15" s="19" t="n">
        <v>2</v>
      </c>
      <c r="C15" s="19" t="n">
        <v>0</v>
      </c>
      <c r="D15" s="19" t="n">
        <v>2</v>
      </c>
      <c r="E15" s="19" t="n">
        <v>0</v>
      </c>
      <c r="F15" s="20" t="n">
        <v>0</v>
      </c>
      <c r="G15" s="19" t="n">
        <v>9</v>
      </c>
      <c r="H15" s="19" t="n">
        <v>3</v>
      </c>
      <c r="I15" s="30" t="n">
        <v>4.5</v>
      </c>
    </row>
    <row r="16" customFormat="false" ht="18" hidden="false" customHeight="true" outlineLevel="0" collapsed="false">
      <c r="A16" s="26" t="s">
        <v>115</v>
      </c>
      <c r="B16" s="24" t="n">
        <v>2</v>
      </c>
      <c r="C16" s="24" t="n">
        <v>1</v>
      </c>
      <c r="D16" s="24" t="n">
        <v>1</v>
      </c>
      <c r="E16" s="24" t="n">
        <v>0</v>
      </c>
      <c r="F16" s="25" t="n">
        <v>0.5</v>
      </c>
      <c r="G16" s="24" t="n">
        <v>31</v>
      </c>
      <c r="H16" s="24" t="n">
        <v>22</v>
      </c>
      <c r="I16" s="31" t="n">
        <v>15.5</v>
      </c>
    </row>
    <row r="17" customFormat="false" ht="18" hidden="false" customHeight="true" outlineLevel="0" collapsed="false">
      <c r="A17" s="21" t="s">
        <v>116</v>
      </c>
      <c r="B17" s="19" t="n">
        <v>1</v>
      </c>
      <c r="C17" s="19" t="n">
        <v>1</v>
      </c>
      <c r="D17" s="19" t="n">
        <v>0</v>
      </c>
      <c r="E17" s="19" t="n">
        <v>0</v>
      </c>
      <c r="F17" s="20" t="n">
        <v>1</v>
      </c>
      <c r="G17" s="19" t="n">
        <v>36</v>
      </c>
      <c r="H17" s="19" t="n">
        <v>0</v>
      </c>
      <c r="I17" s="30" t="n">
        <v>36</v>
      </c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>
      <c r="A20" s="16" t="s">
        <v>117</v>
      </c>
      <c r="B20" s="16"/>
      <c r="C20" s="16"/>
      <c r="D20" s="16"/>
      <c r="E20" s="16"/>
      <c r="F20" s="16"/>
      <c r="G20" s="16"/>
      <c r="H20" s="16"/>
      <c r="I20" s="16"/>
    </row>
    <row r="21" customFormat="false" ht="18" hidden="false" customHeight="true" outlineLevel="0" collapsed="false">
      <c r="A21" s="17" t="s">
        <v>96</v>
      </c>
      <c r="B21" s="17" t="s">
        <v>59</v>
      </c>
      <c r="C21" s="17" t="s">
        <v>52</v>
      </c>
      <c r="D21" s="17" t="s">
        <v>42</v>
      </c>
      <c r="E21" s="17" t="s">
        <v>30</v>
      </c>
      <c r="F21" s="17" t="s">
        <v>36</v>
      </c>
      <c r="G21" s="17" t="s">
        <v>48</v>
      </c>
      <c r="H21" s="17" t="s">
        <v>56</v>
      </c>
    </row>
    <row r="22" customFormat="false" ht="18" hidden="false" customHeight="true" outlineLevel="0" collapsed="false">
      <c r="A22" s="21" t="s">
        <v>104</v>
      </c>
      <c r="B22" s="19" t="n">
        <v>0</v>
      </c>
      <c r="C22" s="19" t="n">
        <v>0</v>
      </c>
      <c r="D22" s="19" t="n">
        <v>0</v>
      </c>
      <c r="E22" s="19" t="n">
        <v>16</v>
      </c>
      <c r="F22" s="19" t="n">
        <v>18</v>
      </c>
      <c r="G22" s="19" t="n">
        <v>1</v>
      </c>
      <c r="H22" s="19" t="n">
        <v>0</v>
      </c>
    </row>
    <row r="23" customFormat="false" ht="18" hidden="false" customHeight="true" outlineLevel="0" collapsed="false">
      <c r="A23" s="26" t="s">
        <v>105</v>
      </c>
      <c r="B23" s="24" t="n">
        <v>0</v>
      </c>
      <c r="C23" s="24" t="n">
        <v>0</v>
      </c>
      <c r="D23" s="24" t="n">
        <v>3</v>
      </c>
      <c r="E23" s="24" t="n">
        <v>16</v>
      </c>
      <c r="F23" s="24" t="n">
        <v>9</v>
      </c>
      <c r="G23" s="24" t="n">
        <v>1</v>
      </c>
      <c r="H23" s="24" t="n">
        <v>0</v>
      </c>
    </row>
    <row r="24" customFormat="false" ht="18" hidden="false" customHeight="true" outlineLevel="0" collapsed="false">
      <c r="A24" s="21" t="s">
        <v>106</v>
      </c>
      <c r="B24" s="19" t="n">
        <v>0</v>
      </c>
      <c r="C24" s="19" t="n">
        <v>0</v>
      </c>
      <c r="D24" s="19" t="n">
        <v>1</v>
      </c>
      <c r="E24" s="19" t="n">
        <v>11</v>
      </c>
      <c r="F24" s="19" t="n">
        <v>8</v>
      </c>
      <c r="G24" s="19" t="n">
        <v>1</v>
      </c>
      <c r="H24" s="19" t="n">
        <v>0</v>
      </c>
    </row>
    <row r="25" customFormat="false" ht="18" hidden="false" customHeight="true" outlineLevel="0" collapsed="false">
      <c r="A25" s="26" t="s">
        <v>107</v>
      </c>
      <c r="B25" s="24" t="n">
        <v>1</v>
      </c>
      <c r="C25" s="24" t="n">
        <v>0</v>
      </c>
      <c r="D25" s="24" t="n">
        <v>2</v>
      </c>
      <c r="E25" s="24" t="n">
        <v>17</v>
      </c>
      <c r="F25" s="24" t="n">
        <v>3</v>
      </c>
      <c r="G25" s="24" t="n">
        <v>0</v>
      </c>
      <c r="H25" s="24" t="n">
        <v>0</v>
      </c>
    </row>
    <row r="26" customFormat="false" ht="18" hidden="false" customHeight="true" outlineLevel="0" collapsed="false">
      <c r="A26" s="21" t="s">
        <v>108</v>
      </c>
      <c r="B26" s="19" t="n">
        <v>0</v>
      </c>
      <c r="C26" s="19" t="n">
        <v>1</v>
      </c>
      <c r="D26" s="19" t="n">
        <v>0</v>
      </c>
      <c r="E26" s="19" t="n">
        <v>7</v>
      </c>
      <c r="F26" s="19" t="n">
        <v>1</v>
      </c>
      <c r="G26" s="19" t="n">
        <v>0</v>
      </c>
      <c r="H26" s="19" t="n">
        <v>0</v>
      </c>
    </row>
    <row r="27" customFormat="false" ht="18" hidden="false" customHeight="true" outlineLevel="0" collapsed="false">
      <c r="A27" s="26" t="s">
        <v>109</v>
      </c>
      <c r="B27" s="24" t="n">
        <v>0</v>
      </c>
      <c r="C27" s="24" t="n">
        <v>0</v>
      </c>
      <c r="D27" s="24" t="n">
        <v>1</v>
      </c>
      <c r="E27" s="24" t="n">
        <v>5</v>
      </c>
      <c r="F27" s="24" t="n">
        <v>1</v>
      </c>
      <c r="G27" s="24" t="n">
        <v>0</v>
      </c>
      <c r="H27" s="24" t="n">
        <v>0</v>
      </c>
    </row>
    <row r="28" customFormat="false" ht="18" hidden="false" customHeight="true" outlineLevel="0" collapsed="false">
      <c r="A28" s="21" t="s">
        <v>110</v>
      </c>
      <c r="B28" s="19" t="n">
        <v>1</v>
      </c>
      <c r="C28" s="19" t="n">
        <v>0</v>
      </c>
      <c r="D28" s="19" t="n">
        <v>0</v>
      </c>
      <c r="E28" s="19" t="n">
        <v>8</v>
      </c>
      <c r="F28" s="19" t="n">
        <v>0</v>
      </c>
      <c r="G28" s="19" t="n">
        <v>0</v>
      </c>
      <c r="H28" s="19" t="n">
        <v>0</v>
      </c>
    </row>
    <row r="29" customFormat="false" ht="18" hidden="false" customHeight="true" outlineLevel="0" collapsed="false">
      <c r="A29" s="26" t="s">
        <v>111</v>
      </c>
      <c r="B29" s="24" t="n">
        <v>1</v>
      </c>
      <c r="C29" s="24" t="n">
        <v>0</v>
      </c>
      <c r="D29" s="24" t="n">
        <v>0</v>
      </c>
      <c r="E29" s="24" t="n">
        <v>5</v>
      </c>
      <c r="F29" s="24" t="n">
        <v>1</v>
      </c>
      <c r="G29" s="24" t="n">
        <v>0</v>
      </c>
      <c r="H29" s="24" t="n">
        <v>2</v>
      </c>
    </row>
    <row r="30" customFormat="false" ht="18" hidden="false" customHeight="true" outlineLevel="0" collapsed="false">
      <c r="A30" s="21" t="s">
        <v>112</v>
      </c>
      <c r="B30" s="19" t="n">
        <v>0</v>
      </c>
      <c r="C30" s="19" t="n">
        <v>0</v>
      </c>
      <c r="D30" s="19" t="n">
        <v>0</v>
      </c>
      <c r="E30" s="19" t="n">
        <v>5</v>
      </c>
      <c r="F30" s="19" t="n">
        <v>0</v>
      </c>
      <c r="G30" s="19" t="n">
        <v>1</v>
      </c>
      <c r="H30" s="19" t="n">
        <v>0</v>
      </c>
    </row>
    <row r="31" customFormat="false" ht="18" hidden="false" customHeight="true" outlineLevel="0" collapsed="false">
      <c r="A31" s="26" t="s">
        <v>113</v>
      </c>
      <c r="B31" s="24" t="n">
        <v>0</v>
      </c>
      <c r="C31" s="24" t="n">
        <v>0</v>
      </c>
      <c r="D31" s="24" t="n">
        <v>0</v>
      </c>
      <c r="E31" s="24" t="n">
        <v>3</v>
      </c>
      <c r="F31" s="24" t="n">
        <v>0</v>
      </c>
      <c r="G31" s="24" t="n">
        <v>0</v>
      </c>
      <c r="H31" s="24" t="n">
        <v>0</v>
      </c>
    </row>
    <row r="32" customFormat="false" ht="18" hidden="false" customHeight="true" outlineLevel="0" collapsed="false">
      <c r="A32" s="21" t="s">
        <v>114</v>
      </c>
      <c r="B32" s="19" t="n">
        <v>0</v>
      </c>
      <c r="C32" s="19" t="n">
        <v>0</v>
      </c>
      <c r="D32" s="19" t="n">
        <v>0</v>
      </c>
      <c r="E32" s="19" t="n">
        <v>1</v>
      </c>
      <c r="F32" s="19" t="n">
        <v>1</v>
      </c>
      <c r="G32" s="19" t="n">
        <v>0</v>
      </c>
      <c r="H32" s="19" t="n">
        <v>0</v>
      </c>
    </row>
    <row r="33" customFormat="false" ht="18" hidden="false" customHeight="true" outlineLevel="0" collapsed="false">
      <c r="A33" s="26" t="s">
        <v>115</v>
      </c>
      <c r="B33" s="24" t="n">
        <v>0</v>
      </c>
      <c r="C33" s="24" t="n">
        <v>0</v>
      </c>
      <c r="D33" s="24" t="n">
        <v>0</v>
      </c>
      <c r="E33" s="24" t="n">
        <v>2</v>
      </c>
      <c r="F33" s="24" t="n">
        <v>0</v>
      </c>
      <c r="G33" s="24" t="n">
        <v>0</v>
      </c>
      <c r="H33" s="24" t="n">
        <v>0</v>
      </c>
    </row>
    <row r="34" customFormat="false" ht="18" hidden="false" customHeight="true" outlineLevel="0" collapsed="false">
      <c r="A34" s="21" t="s">
        <v>116</v>
      </c>
      <c r="B34" s="19" t="n">
        <v>0</v>
      </c>
      <c r="C34" s="19" t="n">
        <v>1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</row>
  </sheetData>
  <mergeCells count="3">
    <mergeCell ref="A1:J1"/>
    <mergeCell ref="A3:I3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24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/>
    <row r="3" customFormat="false" ht="15" hidden="false" customHeight="false" outlineLevel="0" collapsed="false">
      <c r="A3" s="16" t="s">
        <v>119</v>
      </c>
      <c r="B3" s="16"/>
      <c r="C3" s="16"/>
      <c r="D3" s="16"/>
      <c r="E3" s="16"/>
      <c r="F3" s="16"/>
      <c r="G3" s="16"/>
    </row>
    <row r="4" customFormat="false" ht="18" hidden="false" customHeight="true" outlineLevel="0" collapsed="false">
      <c r="A4" s="17" t="s">
        <v>120</v>
      </c>
      <c r="B4" s="17" t="s">
        <v>97</v>
      </c>
      <c r="C4" s="17" t="s">
        <v>98</v>
      </c>
      <c r="D4" s="17" t="s">
        <v>99</v>
      </c>
      <c r="E4" s="17" t="s">
        <v>100</v>
      </c>
      <c r="F4" s="17" t="s">
        <v>101</v>
      </c>
      <c r="G4" s="17" t="s">
        <v>102</v>
      </c>
    </row>
    <row r="5" customFormat="false" ht="18" hidden="false" customHeight="true" outlineLevel="0" collapsed="false">
      <c r="A5" s="21" t="s">
        <v>121</v>
      </c>
      <c r="B5" s="19" t="n">
        <v>67</v>
      </c>
      <c r="C5" s="19" t="n">
        <v>31</v>
      </c>
      <c r="D5" s="19" t="n">
        <v>36</v>
      </c>
      <c r="E5" s="20" t="n">
        <v>0.462686567164179</v>
      </c>
      <c r="F5" s="19" t="n">
        <v>1892</v>
      </c>
      <c r="G5" s="19" t="n">
        <v>786</v>
      </c>
    </row>
    <row r="6" customFormat="false" ht="18" hidden="false" customHeight="true" outlineLevel="0" collapsed="false">
      <c r="A6" s="26" t="s">
        <v>122</v>
      </c>
      <c r="B6" s="24" t="n">
        <v>13</v>
      </c>
      <c r="C6" s="24" t="n">
        <v>2</v>
      </c>
      <c r="D6" s="24" t="n">
        <v>11</v>
      </c>
      <c r="E6" s="25" t="n">
        <v>0.153846153846154</v>
      </c>
      <c r="F6" s="24" t="n">
        <v>226</v>
      </c>
      <c r="G6" s="24" t="n">
        <v>18</v>
      </c>
    </row>
    <row r="7" customFormat="false" ht="18" hidden="false" customHeight="true" outlineLevel="0" collapsed="false">
      <c r="A7" s="21" t="s">
        <v>123</v>
      </c>
      <c r="B7" s="19" t="n">
        <v>12</v>
      </c>
      <c r="C7" s="19" t="n">
        <v>7</v>
      </c>
      <c r="D7" s="19" t="n">
        <v>5</v>
      </c>
      <c r="E7" s="20" t="n">
        <v>0.583333333333333</v>
      </c>
      <c r="F7" s="19" t="n">
        <v>53</v>
      </c>
      <c r="G7" s="19" t="n">
        <v>20</v>
      </c>
    </row>
    <row r="8" customFormat="false" ht="18" hidden="false" customHeight="true" outlineLevel="0" collapsed="false">
      <c r="A8" s="26" t="s">
        <v>124</v>
      </c>
      <c r="B8" s="24" t="n">
        <v>8</v>
      </c>
      <c r="C8" s="24" t="n">
        <v>4</v>
      </c>
      <c r="D8" s="24" t="n">
        <v>4</v>
      </c>
      <c r="E8" s="25" t="n">
        <v>0.5</v>
      </c>
      <c r="F8" s="24" t="n">
        <v>48</v>
      </c>
      <c r="G8" s="24" t="n">
        <v>7</v>
      </c>
    </row>
    <row r="9" customFormat="false" ht="18" hidden="false" customHeight="true" outlineLevel="0" collapsed="false">
      <c r="A9" s="21" t="s">
        <v>125</v>
      </c>
      <c r="B9" s="19" t="n">
        <v>8</v>
      </c>
      <c r="C9" s="19" t="n">
        <v>1</v>
      </c>
      <c r="D9" s="19" t="n">
        <v>7</v>
      </c>
      <c r="E9" s="20" t="n">
        <v>0.125</v>
      </c>
      <c r="F9" s="19" t="n">
        <v>89</v>
      </c>
      <c r="G9" s="19" t="n">
        <v>18</v>
      </c>
    </row>
    <row r="10" customFormat="false" ht="18" hidden="false" customHeight="true" outlineLevel="0" collapsed="false">
      <c r="A10" s="26" t="s">
        <v>126</v>
      </c>
      <c r="B10" s="24" t="n">
        <v>8</v>
      </c>
      <c r="C10" s="24" t="n">
        <v>7</v>
      </c>
      <c r="D10" s="24" t="n">
        <v>1</v>
      </c>
      <c r="E10" s="25" t="n">
        <v>0.875</v>
      </c>
      <c r="F10" s="24" t="n">
        <v>26</v>
      </c>
      <c r="G10" s="24" t="n">
        <v>17</v>
      </c>
    </row>
    <row r="11" customFormat="false" ht="18" hidden="false" customHeight="true" outlineLevel="0" collapsed="false">
      <c r="A11" s="21" t="s">
        <v>127</v>
      </c>
      <c r="B11" s="19" t="n">
        <v>7</v>
      </c>
      <c r="C11" s="19" t="n">
        <v>1</v>
      </c>
      <c r="D11" s="19" t="n">
        <v>6</v>
      </c>
      <c r="E11" s="20" t="n">
        <v>0.142857142857143</v>
      </c>
      <c r="F11" s="19" t="n">
        <v>77</v>
      </c>
      <c r="G11" s="19" t="n">
        <v>2</v>
      </c>
    </row>
    <row r="12" customFormat="false" ht="18" hidden="false" customHeight="true" outlineLevel="0" collapsed="false">
      <c r="A12" s="26" t="s">
        <v>128</v>
      </c>
      <c r="B12" s="24" t="n">
        <v>5</v>
      </c>
      <c r="C12" s="24" t="n">
        <v>1</v>
      </c>
      <c r="D12" s="24" t="n">
        <v>4</v>
      </c>
      <c r="E12" s="25" t="n">
        <v>0.2</v>
      </c>
      <c r="F12" s="24" t="n">
        <v>2</v>
      </c>
      <c r="G12" s="24" t="n">
        <v>1</v>
      </c>
    </row>
    <row r="13" customFormat="false" ht="18" hidden="false" customHeight="true" outlineLevel="0" collapsed="false">
      <c r="A13" s="21" t="s">
        <v>129</v>
      </c>
      <c r="B13" s="19" t="n">
        <v>5</v>
      </c>
      <c r="C13" s="19" t="n">
        <v>4</v>
      </c>
      <c r="D13" s="19" t="n">
        <v>1</v>
      </c>
      <c r="E13" s="20" t="n">
        <v>0.8</v>
      </c>
      <c r="F13" s="19" t="n">
        <v>32</v>
      </c>
      <c r="G13" s="19" t="n">
        <v>21</v>
      </c>
    </row>
    <row r="14" customFormat="false" ht="18" hidden="false" customHeight="true" outlineLevel="0" collapsed="false">
      <c r="A14" s="26" t="s">
        <v>130</v>
      </c>
      <c r="B14" s="24" t="n">
        <v>4</v>
      </c>
      <c r="C14" s="24" t="n">
        <v>1</v>
      </c>
      <c r="D14" s="24" t="n">
        <v>3</v>
      </c>
      <c r="E14" s="25" t="n">
        <v>0.25</v>
      </c>
      <c r="F14" s="24" t="n">
        <v>57</v>
      </c>
      <c r="G14" s="24" t="n">
        <v>0</v>
      </c>
    </row>
    <row r="15" customFormat="false" ht="18" hidden="false" customHeight="true" outlineLevel="0" collapsed="false">
      <c r="A15" s="21" t="s">
        <v>131</v>
      </c>
      <c r="B15" s="19" t="n">
        <v>4</v>
      </c>
      <c r="C15" s="19" t="n">
        <v>3</v>
      </c>
      <c r="D15" s="19" t="n">
        <v>1</v>
      </c>
      <c r="E15" s="20" t="n">
        <v>0.75</v>
      </c>
      <c r="F15" s="19" t="n">
        <v>6</v>
      </c>
      <c r="G15" s="19" t="n">
        <v>6</v>
      </c>
    </row>
    <row r="16" customFormat="false" ht="18" hidden="false" customHeight="true" outlineLevel="0" collapsed="false">
      <c r="A16" s="26" t="s">
        <v>132</v>
      </c>
      <c r="B16" s="24" t="n">
        <v>3</v>
      </c>
      <c r="C16" s="24" t="n">
        <v>0</v>
      </c>
      <c r="D16" s="24" t="n">
        <v>3</v>
      </c>
      <c r="E16" s="25" t="n">
        <v>0</v>
      </c>
      <c r="F16" s="24" t="n">
        <v>62</v>
      </c>
      <c r="G16" s="24" t="n">
        <v>0</v>
      </c>
    </row>
    <row r="17" customFormat="false" ht="18" hidden="false" customHeight="true" outlineLevel="0" collapsed="false">
      <c r="A17" s="21" t="s">
        <v>133</v>
      </c>
      <c r="B17" s="19" t="n">
        <v>3</v>
      </c>
      <c r="C17" s="19" t="n">
        <v>1</v>
      </c>
      <c r="D17" s="19" t="n">
        <v>2</v>
      </c>
      <c r="E17" s="20" t="n">
        <v>0.333333333333333</v>
      </c>
      <c r="F17" s="19" t="n">
        <v>149</v>
      </c>
      <c r="G17" s="19" t="n">
        <v>0</v>
      </c>
    </row>
    <row r="18" customFormat="false" ht="18" hidden="false" customHeight="true" outlineLevel="0" collapsed="false">
      <c r="A18" s="26" t="s">
        <v>134</v>
      </c>
      <c r="B18" s="24" t="n">
        <v>3</v>
      </c>
      <c r="C18" s="24" t="n">
        <v>0</v>
      </c>
      <c r="D18" s="24" t="n">
        <v>3</v>
      </c>
      <c r="E18" s="25" t="n">
        <v>0</v>
      </c>
      <c r="F18" s="24" t="n">
        <v>36</v>
      </c>
      <c r="G18" s="24" t="n">
        <v>0</v>
      </c>
    </row>
    <row r="19" customFormat="false" ht="18" hidden="false" customHeight="true" outlineLevel="0" collapsed="false">
      <c r="A19" s="21" t="s">
        <v>135</v>
      </c>
      <c r="B19" s="19" t="n">
        <v>2</v>
      </c>
      <c r="C19" s="19" t="n">
        <v>0</v>
      </c>
      <c r="D19" s="19" t="n">
        <v>2</v>
      </c>
      <c r="E19" s="20" t="n">
        <v>0</v>
      </c>
      <c r="F19" s="19" t="n">
        <v>9</v>
      </c>
      <c r="G19" s="19" t="n">
        <v>3</v>
      </c>
    </row>
    <row r="20" customFormat="false" ht="18" hidden="false" customHeight="true" outlineLevel="0" collapsed="false">
      <c r="A20" s="26" t="s">
        <v>136</v>
      </c>
      <c r="B20" s="24" t="n">
        <v>2</v>
      </c>
      <c r="C20" s="24" t="n">
        <v>1</v>
      </c>
      <c r="D20" s="24" t="n">
        <v>1</v>
      </c>
      <c r="E20" s="25" t="n">
        <v>0.5</v>
      </c>
      <c r="F20" s="24" t="n">
        <v>11</v>
      </c>
      <c r="G20" s="24" t="n">
        <v>8</v>
      </c>
    </row>
    <row r="21" customFormat="false" ht="18" hidden="false" customHeight="true" outlineLevel="0" collapsed="false">
      <c r="A21" s="21" t="s">
        <v>137</v>
      </c>
      <c r="B21" s="19" t="n">
        <v>2</v>
      </c>
      <c r="C21" s="19" t="n">
        <v>1</v>
      </c>
      <c r="D21" s="19" t="n">
        <v>1</v>
      </c>
      <c r="E21" s="20" t="n">
        <v>0.5</v>
      </c>
      <c r="F21" s="19" t="n">
        <v>3</v>
      </c>
      <c r="G21" s="19" t="n">
        <v>3</v>
      </c>
    </row>
    <row r="22" customFormat="false" ht="18" hidden="false" customHeight="true" outlineLevel="0" collapsed="false">
      <c r="A22" s="26" t="s">
        <v>138</v>
      </c>
      <c r="B22" s="24" t="n">
        <v>1</v>
      </c>
      <c r="C22" s="24" t="n">
        <v>0</v>
      </c>
      <c r="D22" s="24" t="n">
        <v>1</v>
      </c>
      <c r="E22" s="25" t="n">
        <v>0</v>
      </c>
      <c r="F22" s="24" t="n">
        <v>1</v>
      </c>
      <c r="G22" s="24" t="n">
        <v>1</v>
      </c>
    </row>
    <row r="23" customFormat="false" ht="18" hidden="false" customHeight="true" outlineLevel="0" collapsed="false">
      <c r="A23" s="21" t="s">
        <v>139</v>
      </c>
      <c r="B23" s="19" t="n">
        <v>1</v>
      </c>
      <c r="C23" s="19" t="n">
        <v>0</v>
      </c>
      <c r="D23" s="19" t="n">
        <v>1</v>
      </c>
      <c r="E23" s="20" t="n">
        <v>0</v>
      </c>
      <c r="F23" s="19" t="n">
        <v>0</v>
      </c>
      <c r="G23" s="19" t="n">
        <v>0</v>
      </c>
    </row>
    <row r="24" customFormat="false" ht="18" hidden="false" customHeight="true" outlineLevel="0" collapsed="false">
      <c r="A24" s="26" t="s">
        <v>140</v>
      </c>
      <c r="B24" s="24" t="n">
        <v>1</v>
      </c>
      <c r="C24" s="24" t="n">
        <v>0</v>
      </c>
      <c r="D24" s="24" t="n">
        <v>1</v>
      </c>
      <c r="E24" s="25" t="n">
        <v>0</v>
      </c>
      <c r="F24" s="24" t="n">
        <v>27</v>
      </c>
      <c r="G24" s="24" t="n">
        <v>0</v>
      </c>
    </row>
    <row r="25" customFormat="false" ht="18" hidden="false" customHeight="true" outlineLevel="0" collapsed="false">
      <c r="A25" s="21" t="s">
        <v>141</v>
      </c>
      <c r="B25" s="19" t="n">
        <v>1</v>
      </c>
      <c r="C25" s="19" t="n">
        <v>0</v>
      </c>
      <c r="D25" s="19" t="n">
        <v>1</v>
      </c>
      <c r="E25" s="20" t="n">
        <v>0</v>
      </c>
      <c r="F25" s="19" t="n">
        <v>3</v>
      </c>
      <c r="G25" s="19" t="n">
        <v>3</v>
      </c>
    </row>
    <row r="26" customFormat="false" ht="18" hidden="false" customHeight="true" outlineLevel="0" collapsed="false">
      <c r="A26" s="26" t="s">
        <v>142</v>
      </c>
      <c r="B26" s="24" t="n">
        <v>1</v>
      </c>
      <c r="C26" s="24" t="n">
        <v>0</v>
      </c>
      <c r="D26" s="24" t="n">
        <v>1</v>
      </c>
      <c r="E26" s="25" t="n">
        <v>0</v>
      </c>
      <c r="F26" s="24" t="n">
        <v>36</v>
      </c>
      <c r="G26" s="24" t="n">
        <v>0</v>
      </c>
    </row>
    <row r="27" customFormat="false" ht="18" hidden="false" customHeight="true" outlineLevel="0" collapsed="false">
      <c r="A27" s="21" t="s">
        <v>143</v>
      </c>
      <c r="B27" s="19" t="n">
        <v>1</v>
      </c>
      <c r="C27" s="19" t="n">
        <v>0</v>
      </c>
      <c r="D27" s="19" t="n">
        <v>1</v>
      </c>
      <c r="E27" s="20" t="n">
        <v>0</v>
      </c>
      <c r="F27" s="19" t="n">
        <v>0</v>
      </c>
      <c r="G27" s="19" t="n">
        <v>0</v>
      </c>
    </row>
    <row r="28" customFormat="false" ht="18" hidden="false" customHeight="true" outlineLevel="0" collapsed="false">
      <c r="A28" s="26" t="s">
        <v>144</v>
      </c>
      <c r="B28" s="24" t="n">
        <v>1</v>
      </c>
      <c r="C28" s="24" t="n">
        <v>0</v>
      </c>
      <c r="D28" s="24" t="n">
        <v>1</v>
      </c>
      <c r="E28" s="25" t="n">
        <v>0</v>
      </c>
      <c r="F28" s="24" t="n">
        <v>88</v>
      </c>
      <c r="G28" s="24" t="n">
        <v>0</v>
      </c>
    </row>
  </sheetData>
  <mergeCells count="2">
    <mergeCell ref="A1:H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24" hidden="false" customHeight="true" outlineLevel="0" collapsed="false">
      <c r="A1" s="1" t="s">
        <v>145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15" hidden="false" customHeight="false" outlineLevel="0" collapsed="false">
      <c r="A3" s="32" t="s">
        <v>146</v>
      </c>
      <c r="B3" s="32"/>
      <c r="C3" s="32"/>
      <c r="D3" s="32"/>
    </row>
    <row r="4" customFormat="false" ht="18" hidden="false" customHeight="true" outlineLevel="0" collapsed="false">
      <c r="A4" s="17" t="s">
        <v>147</v>
      </c>
      <c r="B4" s="17" t="s">
        <v>148</v>
      </c>
      <c r="C4" s="17" t="s">
        <v>149</v>
      </c>
      <c r="D4" s="17" t="s">
        <v>150</v>
      </c>
    </row>
    <row r="5" customFormat="false" ht="18" hidden="false" customHeight="true" outlineLevel="0" collapsed="false">
      <c r="A5" s="21" t="s">
        <v>151</v>
      </c>
      <c r="B5" s="19" t="n">
        <v>39</v>
      </c>
      <c r="C5" s="20" t="s">
        <v>152</v>
      </c>
      <c r="D5" s="21" t="s">
        <v>153</v>
      </c>
    </row>
    <row r="6" customFormat="false" ht="18" hidden="false" customHeight="true" outlineLevel="0" collapsed="false">
      <c r="A6" s="28" t="s">
        <v>154</v>
      </c>
      <c r="B6" s="33" t="n">
        <v>51</v>
      </c>
      <c r="C6" s="34" t="s">
        <v>63</v>
      </c>
      <c r="D6" s="28" t="s">
        <v>155</v>
      </c>
    </row>
    <row r="7" customFormat="false" ht="18" hidden="false" customHeight="true" outlineLevel="0" collapsed="false">
      <c r="A7" s="28" t="s">
        <v>156</v>
      </c>
      <c r="B7" s="33" t="n">
        <v>61</v>
      </c>
      <c r="C7" s="34" t="s">
        <v>35</v>
      </c>
      <c r="D7" s="28" t="s">
        <v>157</v>
      </c>
    </row>
    <row r="8" customFormat="false" ht="18" hidden="false" customHeight="true" outlineLevel="0" collapsed="false">
      <c r="A8" s="28" t="s">
        <v>92</v>
      </c>
      <c r="B8" s="33" t="n">
        <v>122</v>
      </c>
      <c r="C8" s="34" t="s">
        <v>158</v>
      </c>
      <c r="D8" s="28" t="s">
        <v>159</v>
      </c>
    </row>
    <row r="9" customFormat="false" ht="18" hidden="false" customHeight="true" outlineLevel="0" collapsed="false">
      <c r="A9" s="28" t="s">
        <v>160</v>
      </c>
      <c r="B9" s="33" t="n">
        <v>55</v>
      </c>
      <c r="C9" s="34" t="s">
        <v>161</v>
      </c>
      <c r="D9" s="28" t="s">
        <v>162</v>
      </c>
    </row>
    <row r="10" customFormat="false" ht="18" hidden="false" customHeight="true" outlineLevel="0" collapsed="false">
      <c r="A10" s="28" t="s">
        <v>163</v>
      </c>
      <c r="B10" s="33" t="n">
        <v>57</v>
      </c>
      <c r="C10" s="34" t="s">
        <v>164</v>
      </c>
      <c r="D10" s="28" t="s">
        <v>165</v>
      </c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>
      <c r="A13" s="32" t="s">
        <v>166</v>
      </c>
      <c r="B13" s="32"/>
      <c r="C13" s="32"/>
      <c r="D13" s="32"/>
      <c r="E13" s="32"/>
    </row>
    <row r="14" customFormat="false" ht="18" hidden="false" customHeight="true" outlineLevel="0" collapsed="false">
      <c r="A14" s="17" t="s">
        <v>167</v>
      </c>
      <c r="B14" s="17" t="s">
        <v>22</v>
      </c>
      <c r="C14" s="17" t="s">
        <v>26</v>
      </c>
      <c r="D14" s="17" t="s">
        <v>96</v>
      </c>
      <c r="E14" s="17" t="s">
        <v>168</v>
      </c>
      <c r="F14" s="17" t="s">
        <v>169</v>
      </c>
    </row>
    <row r="15" customFormat="false" ht="18" hidden="false" customHeight="true" outlineLevel="0" collapsed="false">
      <c r="A15" s="21" t="s">
        <v>170</v>
      </c>
      <c r="B15" s="21" t="s">
        <v>34</v>
      </c>
      <c r="C15" s="21" t="s">
        <v>38</v>
      </c>
      <c r="D15" s="21" t="s">
        <v>113</v>
      </c>
      <c r="E15" s="35" t="n">
        <v>45912</v>
      </c>
      <c r="F15" s="19" t="n">
        <v>190</v>
      </c>
    </row>
    <row r="16" customFormat="false" ht="18" hidden="false" customHeight="true" outlineLevel="0" collapsed="false">
      <c r="A16" s="26" t="s">
        <v>171</v>
      </c>
      <c r="B16" s="26" t="s">
        <v>34</v>
      </c>
      <c r="C16" s="26" t="s">
        <v>38</v>
      </c>
      <c r="D16" s="26" t="s">
        <v>113</v>
      </c>
      <c r="E16" s="36" t="n">
        <v>45912</v>
      </c>
      <c r="F16" s="24" t="n">
        <v>190</v>
      </c>
    </row>
    <row r="17" customFormat="false" ht="18" hidden="false" customHeight="true" outlineLevel="0" collapsed="false">
      <c r="A17" s="21" t="s">
        <v>172</v>
      </c>
      <c r="B17" s="21" t="s">
        <v>34</v>
      </c>
      <c r="C17" s="21" t="s">
        <v>38</v>
      </c>
      <c r="D17" s="21" t="s">
        <v>113</v>
      </c>
      <c r="E17" s="35" t="n">
        <v>45912</v>
      </c>
      <c r="F17" s="19" t="n">
        <v>190</v>
      </c>
    </row>
    <row r="18" customFormat="false" ht="18" hidden="false" customHeight="true" outlineLevel="0" collapsed="false">
      <c r="A18" s="26" t="s">
        <v>173</v>
      </c>
      <c r="B18" s="26" t="s">
        <v>57</v>
      </c>
      <c r="C18" s="26" t="s">
        <v>38</v>
      </c>
      <c r="D18" s="26" t="s">
        <v>174</v>
      </c>
      <c r="E18" s="36" t="n">
        <v>45937</v>
      </c>
      <c r="F18" s="24" t="n">
        <v>165</v>
      </c>
    </row>
    <row r="19" customFormat="false" ht="18" hidden="false" customHeight="true" outlineLevel="0" collapsed="false">
      <c r="A19" s="21" t="s">
        <v>175</v>
      </c>
      <c r="B19" s="21" t="s">
        <v>46</v>
      </c>
      <c r="C19" s="21" t="s">
        <v>32</v>
      </c>
      <c r="D19" s="21" t="s">
        <v>105</v>
      </c>
      <c r="E19" s="35" t="n">
        <v>45989</v>
      </c>
      <c r="F19" s="19" t="n">
        <v>113</v>
      </c>
    </row>
    <row r="20" customFormat="false" ht="18" hidden="false" customHeight="true" outlineLevel="0" collapsed="false">
      <c r="A20" s="26" t="s">
        <v>176</v>
      </c>
      <c r="B20" s="26" t="s">
        <v>34</v>
      </c>
      <c r="C20" s="26" t="s">
        <v>32</v>
      </c>
      <c r="D20" s="26" t="s">
        <v>177</v>
      </c>
      <c r="E20" s="36" t="n">
        <v>46013</v>
      </c>
      <c r="F20" s="24" t="n">
        <v>89</v>
      </c>
    </row>
    <row r="21" customFormat="false" ht="18" hidden="false" customHeight="true" outlineLevel="0" collapsed="false">
      <c r="A21" s="21" t="s">
        <v>176</v>
      </c>
      <c r="B21" s="21" t="s">
        <v>34</v>
      </c>
      <c r="C21" s="21" t="s">
        <v>32</v>
      </c>
      <c r="D21" s="21" t="s">
        <v>177</v>
      </c>
      <c r="E21" s="35" t="n">
        <v>46013</v>
      </c>
      <c r="F21" s="19" t="n">
        <v>89</v>
      </c>
    </row>
    <row r="22" customFormat="false" ht="18" hidden="false" customHeight="true" outlineLevel="0" collapsed="false">
      <c r="A22" s="26" t="s">
        <v>178</v>
      </c>
      <c r="B22" s="26" t="s">
        <v>34</v>
      </c>
      <c r="C22" s="26" t="s">
        <v>38</v>
      </c>
      <c r="D22" s="26" t="s">
        <v>179</v>
      </c>
      <c r="E22" s="36" t="n">
        <v>46041</v>
      </c>
      <c r="F22" s="24" t="n">
        <v>61</v>
      </c>
    </row>
    <row r="23" customFormat="false" ht="18" hidden="false" customHeight="true" outlineLevel="0" collapsed="false"/>
    <row r="24" customFormat="false" ht="18" hidden="false" customHeight="true" outlineLevel="0" collapsed="false"/>
  </sheetData>
  <mergeCells count="3">
    <mergeCell ref="A1:F1"/>
    <mergeCell ref="A3:D3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2026-03-21T21:43:26Z</dcterms:created>
  <dc:creator>openpyxl</dc:creator>
  <dc:description/>
  <dc:language>en-US</dc:language>
  <cp:lastModifiedBy/>
  <dcterms:modified xsi:type="dcterms:W3CDTF">2026-03-21T21:43:38Z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